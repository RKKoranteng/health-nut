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Nutrition" sheetId="2" r:id="rId6"/>
    <sheet state="visible" name="Cardio" sheetId="3" r:id="rId7"/>
    <sheet state="visible" name="Workouts" sheetId="4" r:id="rId8"/>
    <sheet state="visible" name="Helper" sheetId="5" r:id="rId9"/>
  </sheets>
  <definedNames/>
  <calcPr/>
</workbook>
</file>

<file path=xl/sharedStrings.xml><?xml version="1.0" encoding="utf-8"?>
<sst xmlns="http://schemas.openxmlformats.org/spreadsheetml/2006/main" count="105" uniqueCount="64">
  <si>
    <t>Week Ending</t>
  </si>
  <si>
    <t>Date</t>
  </si>
  <si>
    <t>Body Part</t>
  </si>
  <si>
    <t>Exercise</t>
  </si>
  <si>
    <t>Weight (LB)</t>
  </si>
  <si>
    <t>Set 1</t>
  </si>
  <si>
    <t>Set 2</t>
  </si>
  <si>
    <t>Set 3</t>
  </si>
  <si>
    <t>Set 4</t>
  </si>
  <si>
    <t>Total Volume</t>
  </si>
  <si>
    <t>Progress</t>
  </si>
  <si>
    <t>Triceps</t>
  </si>
  <si>
    <t>Cable Pull Downs</t>
  </si>
  <si>
    <t>Biceps</t>
  </si>
  <si>
    <t>Hammer Curl</t>
  </si>
  <si>
    <t>Shoulders</t>
  </si>
  <si>
    <t>Military Press</t>
  </si>
  <si>
    <t>Traps</t>
  </si>
  <si>
    <t>Barbell Shruggs</t>
  </si>
  <si>
    <t>Chest</t>
  </si>
  <si>
    <t>Bench Press</t>
  </si>
  <si>
    <t>Back</t>
  </si>
  <si>
    <t>T-Bar Row</t>
  </si>
  <si>
    <t>Quads</t>
  </si>
  <si>
    <t>Hack Sqaut</t>
  </si>
  <si>
    <t>Hamstrings</t>
  </si>
  <si>
    <t>Seated Ham. Curl</t>
  </si>
  <si>
    <t>Carbs</t>
  </si>
  <si>
    <t>Fat</t>
  </si>
  <si>
    <t>Protein</t>
  </si>
  <si>
    <t>Calories</t>
  </si>
  <si>
    <t>Miles</t>
  </si>
  <si>
    <t>Minutes</t>
  </si>
  <si>
    <t>Excersice</t>
  </si>
  <si>
    <t>Dumbell Press</t>
  </si>
  <si>
    <t>Dumbell Raises</t>
  </si>
  <si>
    <t>Dumbell Shruggs</t>
  </si>
  <si>
    <t>Machine Shruggs</t>
  </si>
  <si>
    <t>Neck</t>
  </si>
  <si>
    <t>Neck Push</t>
  </si>
  <si>
    <t>Cable Rows</t>
  </si>
  <si>
    <t>Barbell Rows</t>
  </si>
  <si>
    <t>Dumbell Rows</t>
  </si>
  <si>
    <t>Push Ups</t>
  </si>
  <si>
    <t>Core</t>
  </si>
  <si>
    <t>Machine Crunch</t>
  </si>
  <si>
    <t>Barbell Curl</t>
  </si>
  <si>
    <t>Seated Curl</t>
  </si>
  <si>
    <t>Skull Crushers</t>
  </si>
  <si>
    <t>Forearms</t>
  </si>
  <si>
    <t>Flexes</t>
  </si>
  <si>
    <t>Machine Ham. Extension</t>
  </si>
  <si>
    <t>Lunges</t>
  </si>
  <si>
    <t>Machine Leg Extension</t>
  </si>
  <si>
    <t>Calfs</t>
  </si>
  <si>
    <t>Calf Raises</t>
  </si>
  <si>
    <t>D1W1</t>
  </si>
  <si>
    <t>D1W2</t>
  </si>
  <si>
    <t>D2W1</t>
  </si>
  <si>
    <t>D2W2</t>
  </si>
  <si>
    <t>D3W1</t>
  </si>
  <si>
    <t>D3W2</t>
  </si>
  <si>
    <t>D4W1</t>
  </si>
  <si>
    <t>D4W2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</si>
</sst>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f t="shared" ref="A2:A9" si="1">IF(B2="", "", B2 + (7 - WEEKDAY(B2)))</f>
        <v>46109</v>
      </c>
      <c r="B2" s="4">
        <v>46104.0</v>
      </c>
      <c r="C2" s="5" t="s">
        <v>11</v>
      </c>
      <c r="D2" s="5" t="s">
        <v>12</v>
      </c>
      <c r="E2" s="5">
        <v>93.0</v>
      </c>
      <c r="F2" s="5">
        <v>10.0</v>
      </c>
      <c r="G2" s="5">
        <v>10.0</v>
      </c>
      <c r="H2" s="5">
        <v>10.0</v>
      </c>
      <c r="I2" s="5">
        <v>10.0</v>
      </c>
      <c r="J2" s="6">
        <f t="shared" ref="J2:J9" si="2">sum(F2:I2)</f>
        <v>40</v>
      </c>
      <c r="K2" s="7">
        <f t="shared" ref="K2:K9" si="3">IF(J2="","", J2/40)</f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f t="shared" si="1"/>
        <v>46109</v>
      </c>
      <c r="B3" s="4">
        <v>46104.0</v>
      </c>
      <c r="C3" s="5" t="s">
        <v>13</v>
      </c>
      <c r="D3" s="5" t="s">
        <v>14</v>
      </c>
      <c r="E3" s="5">
        <v>55.0</v>
      </c>
      <c r="F3" s="5">
        <v>10.0</v>
      </c>
      <c r="G3" s="5">
        <v>10.0</v>
      </c>
      <c r="H3" s="5">
        <v>10.0</v>
      </c>
      <c r="I3" s="5">
        <v>8.0</v>
      </c>
      <c r="J3" s="6">
        <f t="shared" si="2"/>
        <v>38</v>
      </c>
      <c r="K3" s="7">
        <f t="shared" si="3"/>
        <v>0.95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f t="shared" si="1"/>
        <v>46109</v>
      </c>
      <c r="B4" s="4">
        <v>46105.0</v>
      </c>
      <c r="C4" s="5" t="s">
        <v>15</v>
      </c>
      <c r="D4" s="5" t="s">
        <v>16</v>
      </c>
      <c r="E4" s="5">
        <v>185.0</v>
      </c>
      <c r="F4" s="5">
        <v>6.0</v>
      </c>
      <c r="G4" s="5">
        <v>6.0</v>
      </c>
      <c r="H4" s="5">
        <v>6.0</v>
      </c>
      <c r="I4" s="5">
        <v>6.0</v>
      </c>
      <c r="J4" s="6">
        <f t="shared" si="2"/>
        <v>24</v>
      </c>
      <c r="K4" s="7">
        <f t="shared" si="3"/>
        <v>0.6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f t="shared" si="1"/>
        <v>46109</v>
      </c>
      <c r="B5" s="4">
        <v>46105.0</v>
      </c>
      <c r="C5" s="5" t="s">
        <v>17</v>
      </c>
      <c r="D5" s="5" t="s">
        <v>18</v>
      </c>
      <c r="E5" s="5">
        <v>275.0</v>
      </c>
      <c r="F5" s="5">
        <v>8.0</v>
      </c>
      <c r="G5" s="5">
        <v>10.0</v>
      </c>
      <c r="H5" s="5">
        <v>6.0</v>
      </c>
      <c r="I5" s="5">
        <v>8.0</v>
      </c>
      <c r="J5" s="6">
        <f t="shared" si="2"/>
        <v>32</v>
      </c>
      <c r="K5" s="7">
        <f t="shared" si="3"/>
        <v>0.8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>
        <f t="shared" si="1"/>
        <v>46109</v>
      </c>
      <c r="B6" s="4">
        <v>46106.0</v>
      </c>
      <c r="C6" s="5" t="s">
        <v>19</v>
      </c>
      <c r="D6" s="5" t="s">
        <v>20</v>
      </c>
      <c r="E6" s="5">
        <v>245.0</v>
      </c>
      <c r="F6" s="5">
        <v>6.0</v>
      </c>
      <c r="G6" s="5">
        <v>6.0</v>
      </c>
      <c r="H6" s="5">
        <v>5.0</v>
      </c>
      <c r="I6" s="5">
        <v>4.0</v>
      </c>
      <c r="J6" s="6">
        <f t="shared" si="2"/>
        <v>21</v>
      </c>
      <c r="K6" s="7">
        <f t="shared" si="3"/>
        <v>0.525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f t="shared" si="1"/>
        <v>46109</v>
      </c>
      <c r="B7" s="4">
        <v>46106.0</v>
      </c>
      <c r="C7" s="5" t="s">
        <v>21</v>
      </c>
      <c r="D7" s="5" t="s">
        <v>22</v>
      </c>
      <c r="E7" s="5">
        <v>225.0</v>
      </c>
      <c r="F7" s="5">
        <v>10.0</v>
      </c>
      <c r="G7" s="5">
        <v>10.0</v>
      </c>
      <c r="H7" s="5">
        <v>10.0</v>
      </c>
      <c r="I7" s="5">
        <v>10.0</v>
      </c>
      <c r="J7" s="6">
        <f t="shared" si="2"/>
        <v>40</v>
      </c>
      <c r="K7" s="7">
        <f t="shared" si="3"/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f t="shared" si="1"/>
        <v>46109</v>
      </c>
      <c r="B8" s="4">
        <v>46108.0</v>
      </c>
      <c r="C8" s="5" t="s">
        <v>23</v>
      </c>
      <c r="D8" s="5" t="s">
        <v>24</v>
      </c>
      <c r="E8" s="5">
        <v>380.0</v>
      </c>
      <c r="F8" s="5">
        <v>8.0</v>
      </c>
      <c r="G8" s="5">
        <v>8.0</v>
      </c>
      <c r="H8" s="5">
        <v>8.0</v>
      </c>
      <c r="I8" s="5">
        <v>8.0</v>
      </c>
      <c r="J8" s="6">
        <f t="shared" si="2"/>
        <v>32</v>
      </c>
      <c r="K8" s="7">
        <f t="shared" si="3"/>
        <v>0.8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>
        <f t="shared" si="1"/>
        <v>46109</v>
      </c>
      <c r="B9" s="4">
        <v>46108.0</v>
      </c>
      <c r="C9" s="5" t="s">
        <v>25</v>
      </c>
      <c r="D9" s="5" t="s">
        <v>26</v>
      </c>
      <c r="E9" s="5">
        <v>140.0</v>
      </c>
      <c r="F9" s="5">
        <v>10.0</v>
      </c>
      <c r="G9" s="5">
        <v>8.0</v>
      </c>
      <c r="H9" s="5">
        <v>8.0</v>
      </c>
      <c r="I9" s="5">
        <v>8.0</v>
      </c>
      <c r="J9" s="6">
        <f t="shared" si="2"/>
        <v>34</v>
      </c>
      <c r="K9" s="7">
        <f t="shared" si="3"/>
        <v>0.85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conditionalFormatting sqref="A2:K9">
    <cfRule type="expression" dxfId="0" priority="1">
      <formula>$K2&lt;0.7</formula>
    </cfRule>
  </conditionalFormatting>
  <conditionalFormatting sqref="A2:K9">
    <cfRule type="expression" dxfId="1" priority="2">
      <formula>AND($K2&gt;=0.7, $K2&lt;1)</formula>
    </cfRule>
  </conditionalFormatting>
  <conditionalFormatting sqref="A2:K9">
    <cfRule type="expression" dxfId="2" priority="3">
      <formula>$K2&gt;=1</formula>
    </cfRule>
  </conditionalFormatting>
  <dataValidations>
    <dataValidation type="list" allowBlank="1" showErrorMessage="1" sqref="C2:C9">
      <formula1>"Shoulders,Traps,Neck,Chest,Back,Core,Biceps,Triceps,Forearms,Hamstrings,Quads,Calfs"</formula1>
    </dataValidation>
    <dataValidation type="list" allowBlank="1" showErrorMessage="1" sqref="D9">
      <formula1>Helper!$H$2:$H996</formula1>
    </dataValidation>
    <dataValidation type="list" allowBlank="1" showErrorMessage="1" sqref="D6">
      <formula1>Helper!$E$2:$E996</formula1>
    </dataValidation>
    <dataValidation type="list" allowBlank="1" showErrorMessage="1" sqref="D7">
      <formula1>Helper!$F$2:$F996</formula1>
    </dataValidation>
    <dataValidation type="list" allowBlank="1" showErrorMessage="1" sqref="D8">
      <formula1>Helper!$G$2:$G996</formula1>
    </dataValidation>
    <dataValidation type="list" allowBlank="1" showErrorMessage="1" sqref="D3">
      <formula1>Helper!$B$2:$B996</formula1>
    </dataValidation>
    <dataValidation type="list" allowBlank="1" showErrorMessage="1" sqref="D4">
      <formula1>Helper!$C$2:$C996</formula1>
    </dataValidation>
    <dataValidation type="list" allowBlank="1" showErrorMessage="1" sqref="D5">
      <formula1>Helper!$D$2:$D996</formula1>
    </dataValidation>
    <dataValidation type="list" allowBlank="1" showErrorMessage="1" sqref="D2">
      <formula1>Helper!$A$2:$A996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46109</v>
      </c>
      <c r="B2" s="4">
        <v>46104.0</v>
      </c>
      <c r="C2" s="5">
        <v>200.0</v>
      </c>
      <c r="D2" s="5">
        <v>30.0</v>
      </c>
      <c r="E2" s="5">
        <v>100.0</v>
      </c>
      <c r="F2" s="5">
        <v>1500.0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46109</v>
      </c>
      <c r="B3" s="4">
        <v>46105.0</v>
      </c>
      <c r="C3" s="5">
        <v>200.0</v>
      </c>
      <c r="D3" s="5">
        <v>30.0</v>
      </c>
      <c r="E3" s="5">
        <v>100.0</v>
      </c>
      <c r="F3" s="5">
        <v>1500.0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46109</v>
      </c>
      <c r="B4" s="4">
        <v>46106.0</v>
      </c>
      <c r="C4" s="5">
        <v>200.0</v>
      </c>
      <c r="D4" s="5">
        <v>30.0</v>
      </c>
      <c r="E4" s="5">
        <v>100.0</v>
      </c>
      <c r="F4" s="5">
        <v>1500.0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46109</v>
      </c>
      <c r="B5" s="4">
        <v>46107.0</v>
      </c>
      <c r="C5" s="5">
        <v>200.0</v>
      </c>
      <c r="D5" s="5">
        <v>30.0</v>
      </c>
      <c r="E5" s="5">
        <v>100.0</v>
      </c>
      <c r="F5" s="5">
        <v>1500.0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46109</v>
      </c>
      <c r="B6" s="4">
        <v>46108.0</v>
      </c>
      <c r="C6" s="5">
        <v>200.0</v>
      </c>
      <c r="D6" s="5">
        <v>30.0</v>
      </c>
      <c r="E6" s="5">
        <v>100.0</v>
      </c>
      <c r="F6" s="5">
        <v>1500.0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46109</v>
      </c>
      <c r="B7" s="4">
        <v>46109.0</v>
      </c>
      <c r="C7" s="5">
        <v>200.0</v>
      </c>
      <c r="D7" s="5">
        <v>30.0</v>
      </c>
      <c r="E7" s="5">
        <v>100.0</v>
      </c>
      <c r="F7" s="5">
        <v>1500.0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31</v>
      </c>
      <c r="D1" s="1" t="s">
        <v>32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46109</v>
      </c>
      <c r="B2" s="4">
        <v>46104.0</v>
      </c>
      <c r="C2" s="5">
        <v>1.0</v>
      </c>
      <c r="D2" s="5">
        <v>30.0</v>
      </c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46109</v>
      </c>
      <c r="B3" s="4">
        <v>46105.0</v>
      </c>
      <c r="C3" s="5">
        <v>1.0</v>
      </c>
      <c r="D3" s="5">
        <v>30.0</v>
      </c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46109</v>
      </c>
      <c r="B4" s="4">
        <v>46106.0</v>
      </c>
      <c r="C4" s="5">
        <v>1.0</v>
      </c>
      <c r="D4" s="5">
        <v>30.0</v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46109</v>
      </c>
      <c r="B5" s="4">
        <v>46107.0</v>
      </c>
      <c r="C5" s="5">
        <v>1.0</v>
      </c>
      <c r="D5" s="5">
        <v>30.0</v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46109</v>
      </c>
      <c r="B6" s="4">
        <v>46108.0</v>
      </c>
      <c r="C6" s="5">
        <v>1.0</v>
      </c>
      <c r="D6" s="5">
        <v>30.0</v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46109</v>
      </c>
      <c r="B7" s="4">
        <v>46109.0</v>
      </c>
      <c r="C7" s="5">
        <v>1.0</v>
      </c>
      <c r="D7" s="5">
        <v>30.0</v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0.88"/>
  </cols>
  <sheetData>
    <row r="1">
      <c r="A1" s="8" t="s">
        <v>2</v>
      </c>
      <c r="B1" s="8" t="s">
        <v>33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15</v>
      </c>
      <c r="B2" s="10" t="s">
        <v>16</v>
      </c>
    </row>
    <row r="3">
      <c r="A3" s="10" t="s">
        <v>15</v>
      </c>
      <c r="B3" s="10" t="s">
        <v>34</v>
      </c>
    </row>
    <row r="4">
      <c r="A4" s="10" t="s">
        <v>15</v>
      </c>
      <c r="B4" s="10" t="s">
        <v>35</v>
      </c>
    </row>
    <row r="5">
      <c r="A5" s="10" t="s">
        <v>17</v>
      </c>
      <c r="B5" s="10" t="s">
        <v>18</v>
      </c>
    </row>
    <row r="6">
      <c r="A6" s="10" t="s">
        <v>17</v>
      </c>
      <c r="B6" s="10" t="s">
        <v>36</v>
      </c>
    </row>
    <row r="7">
      <c r="A7" s="10" t="s">
        <v>17</v>
      </c>
      <c r="B7" s="10" t="s">
        <v>37</v>
      </c>
    </row>
    <row r="8">
      <c r="A8" s="10" t="s">
        <v>38</v>
      </c>
      <c r="B8" s="10" t="s">
        <v>39</v>
      </c>
    </row>
    <row r="9">
      <c r="A9" s="10" t="s">
        <v>21</v>
      </c>
      <c r="B9" s="10" t="s">
        <v>40</v>
      </c>
    </row>
    <row r="10">
      <c r="A10" s="10" t="s">
        <v>21</v>
      </c>
      <c r="B10" s="10" t="s">
        <v>41</v>
      </c>
    </row>
    <row r="11">
      <c r="A11" s="10" t="s">
        <v>21</v>
      </c>
      <c r="B11" s="10" t="s">
        <v>42</v>
      </c>
    </row>
    <row r="12">
      <c r="A12" s="10" t="s">
        <v>21</v>
      </c>
      <c r="B12" s="10" t="s">
        <v>22</v>
      </c>
    </row>
    <row r="13">
      <c r="A13" s="10" t="s">
        <v>19</v>
      </c>
      <c r="B13" s="10" t="s">
        <v>20</v>
      </c>
    </row>
    <row r="14">
      <c r="A14" s="10" t="s">
        <v>19</v>
      </c>
      <c r="B14" s="10" t="s">
        <v>34</v>
      </c>
    </row>
    <row r="15">
      <c r="A15" s="10" t="s">
        <v>19</v>
      </c>
      <c r="B15" s="10" t="s">
        <v>43</v>
      </c>
    </row>
    <row r="16">
      <c r="A16" s="10" t="s">
        <v>44</v>
      </c>
      <c r="B16" s="10" t="s">
        <v>45</v>
      </c>
    </row>
    <row r="17">
      <c r="A17" s="10" t="s">
        <v>13</v>
      </c>
      <c r="B17" s="10" t="s">
        <v>46</v>
      </c>
    </row>
    <row r="18">
      <c r="A18" s="10" t="s">
        <v>13</v>
      </c>
      <c r="B18" s="10" t="s">
        <v>14</v>
      </c>
    </row>
    <row r="19">
      <c r="A19" s="10" t="s">
        <v>13</v>
      </c>
      <c r="B19" s="10" t="s">
        <v>47</v>
      </c>
    </row>
    <row r="20">
      <c r="A20" s="10" t="s">
        <v>11</v>
      </c>
      <c r="B20" s="10" t="s">
        <v>48</v>
      </c>
    </row>
    <row r="21">
      <c r="A21" s="10" t="s">
        <v>11</v>
      </c>
      <c r="B21" s="10" t="s">
        <v>35</v>
      </c>
    </row>
    <row r="22">
      <c r="A22" s="10" t="s">
        <v>11</v>
      </c>
      <c r="B22" s="10" t="s">
        <v>12</v>
      </c>
    </row>
    <row r="23">
      <c r="A23" s="10" t="s">
        <v>49</v>
      </c>
      <c r="B23" s="10" t="s">
        <v>50</v>
      </c>
    </row>
    <row r="24">
      <c r="A24" s="10" t="s">
        <v>25</v>
      </c>
      <c r="B24" s="10" t="s">
        <v>51</v>
      </c>
    </row>
    <row r="25">
      <c r="A25" s="10" t="s">
        <v>25</v>
      </c>
      <c r="B25" s="10" t="s">
        <v>26</v>
      </c>
    </row>
    <row r="26">
      <c r="A26" s="10" t="s">
        <v>25</v>
      </c>
      <c r="B26" s="10" t="s">
        <v>52</v>
      </c>
    </row>
    <row r="27">
      <c r="A27" s="10" t="s">
        <v>23</v>
      </c>
      <c r="B27" s="10" t="s">
        <v>24</v>
      </c>
    </row>
    <row r="28">
      <c r="A28" s="10" t="s">
        <v>23</v>
      </c>
      <c r="B28" s="10" t="s">
        <v>53</v>
      </c>
    </row>
    <row r="29">
      <c r="A29" s="10" t="s">
        <v>23</v>
      </c>
      <c r="B29" s="10" t="s">
        <v>52</v>
      </c>
    </row>
    <row r="30">
      <c r="A30" s="10" t="s">
        <v>54</v>
      </c>
      <c r="B30" s="10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</row>
    <row r="2">
      <c r="A2" s="11" t="str">
        <f>IFERROR(__xludf.DUMMYFUNCTION("IF(Training!C2="""",,FILTER(Workouts!$B$2:$B1001, ISNUMBER(SEARCH(Training!C2, Workouts!$A$2:$A1001))))"),"Skull Crushers")</f>
        <v>Skull Crushers</v>
      </c>
      <c r="B2" s="11" t="str">
        <f>IFERROR(__xludf.DUMMYFUNCTION("IF(Training!C3="""",,FILTER(Workouts!$B$2:$B1001, ISNUMBER(SEARCH(Training!C3, Workouts!$A$2:$A1001))))"),"Barbell Curl")</f>
        <v>Barbell Curl</v>
      </c>
      <c r="C2" s="11" t="str">
        <f>IFERROR(__xludf.DUMMYFUNCTION("IF(Training!C4="""",,FILTER(Workouts!$B$2:$B1001, ISNUMBER(SEARCH(Training!C4, Workouts!$A$2:$A1001))))"),"Military Press")</f>
        <v>Military Press</v>
      </c>
      <c r="D2" s="11" t="str">
        <f>IFERROR(__xludf.DUMMYFUNCTION("IF(Training!C5="""",,FILTER(Workouts!$B$2:$B1001, ISNUMBER(SEARCH(Training!C5, Workouts!$A$2:$A1001))))"),"Barbell Shruggs")</f>
        <v>Barbell Shruggs</v>
      </c>
      <c r="E2" s="11" t="str">
        <f>IFERROR(__xludf.DUMMYFUNCTION("IF(Training!C6="""",,FILTER(Workouts!$B$2:$B1001, ISNUMBER(SEARCH(Training!C6, Workouts!$A$2:$A1001))))"),"Bench Press")</f>
        <v>Bench Press</v>
      </c>
      <c r="F2" s="11" t="str">
        <f>IFERROR(__xludf.DUMMYFUNCTION("IF(Training!C7="""",,FILTER(Workouts!$B$2:$B1001, ISNUMBER(SEARCH(Training!C7, Workouts!$A$2:$A1001))))"),"Cable Rows")</f>
        <v>Cable Rows</v>
      </c>
      <c r="G2" s="11" t="str">
        <f>IFERROR(__xludf.DUMMYFUNCTION("IF(Training!C8="""",,FILTER(Workouts!$B2:$B1001, ISNUMBER(SEARCH(Training!C8, Workouts!$A$2:$A1001))))"),"Hack Sqaut")</f>
        <v>Hack Sqaut</v>
      </c>
      <c r="H2" s="11" t="str">
        <f>IFERROR(__xludf.DUMMYFUNCTION("IF(Training!C9="""",,FILTER(Workouts!$B2:$B1001, ISNUMBER(SEARCH(Training!C9, Workouts!$A$2:$A1001))))"),"Machine Ham. Extension")</f>
        <v>Machine Ham. Extension</v>
      </c>
    </row>
    <row r="3">
      <c r="A3" s="11" t="str">
        <f>IFERROR(__xludf.DUMMYFUNCTION("""COMPUTED_VALUE"""),"Dumbell Raises")</f>
        <v>Dumbell Raises</v>
      </c>
      <c r="B3" s="11" t="str">
        <f>IFERROR(__xludf.DUMMYFUNCTION("""COMPUTED_VALUE"""),"Hammer Curl")</f>
        <v>Hammer Curl</v>
      </c>
      <c r="C3" s="11" t="str">
        <f>IFERROR(__xludf.DUMMYFUNCTION("""COMPUTED_VALUE"""),"Dumbell Press")</f>
        <v>Dumbell Press</v>
      </c>
      <c r="D3" s="11" t="str">
        <f>IFERROR(__xludf.DUMMYFUNCTION("""COMPUTED_VALUE"""),"Dumbell Shruggs")</f>
        <v>Dumbell Shruggs</v>
      </c>
      <c r="E3" s="11" t="str">
        <f>IFERROR(__xludf.DUMMYFUNCTION("""COMPUTED_VALUE"""),"Dumbell Press")</f>
        <v>Dumbell Press</v>
      </c>
      <c r="F3" s="11" t="str">
        <f>IFERROR(__xludf.DUMMYFUNCTION("""COMPUTED_VALUE"""),"Barbell Rows")</f>
        <v>Barbell Rows</v>
      </c>
      <c r="G3" s="11" t="str">
        <f>IFERROR(__xludf.DUMMYFUNCTION("""COMPUTED_VALUE"""),"Machine Leg Extension")</f>
        <v>Machine Leg Extension</v>
      </c>
      <c r="H3" s="11" t="str">
        <f>IFERROR(__xludf.DUMMYFUNCTION("""COMPUTED_VALUE"""),"Seated Ham. Curl")</f>
        <v>Seated Ham. Curl</v>
      </c>
    </row>
    <row r="4">
      <c r="A4" s="11" t="str">
        <f>IFERROR(__xludf.DUMMYFUNCTION("""COMPUTED_VALUE"""),"Cable Pull Downs")</f>
        <v>Cable Pull Downs</v>
      </c>
      <c r="B4" s="11" t="str">
        <f>IFERROR(__xludf.DUMMYFUNCTION("""COMPUTED_VALUE"""),"Seated Curl")</f>
        <v>Seated Curl</v>
      </c>
      <c r="C4" s="11" t="str">
        <f>IFERROR(__xludf.DUMMYFUNCTION("""COMPUTED_VALUE"""),"Dumbell Raises")</f>
        <v>Dumbell Raises</v>
      </c>
      <c r="D4" s="11" t="str">
        <f>IFERROR(__xludf.DUMMYFUNCTION("""COMPUTED_VALUE"""),"Machine Shruggs")</f>
        <v>Machine Shruggs</v>
      </c>
      <c r="E4" s="11" t="str">
        <f>IFERROR(__xludf.DUMMYFUNCTION("""COMPUTED_VALUE"""),"Push Ups")</f>
        <v>Push Ups</v>
      </c>
      <c r="F4" s="11" t="str">
        <f>IFERROR(__xludf.DUMMYFUNCTION("""COMPUTED_VALUE"""),"Dumbell Rows")</f>
        <v>Dumbell Rows</v>
      </c>
      <c r="G4" s="11" t="str">
        <f>IFERROR(__xludf.DUMMYFUNCTION("""COMPUTED_VALUE"""),"Lunges")</f>
        <v>Lunges</v>
      </c>
      <c r="H4" s="11" t="str">
        <f>IFERROR(__xludf.DUMMYFUNCTION("""COMPUTED_VALUE"""),"Lunges")</f>
        <v>Lunges</v>
      </c>
    </row>
    <row r="5">
      <c r="F5" s="11" t="str">
        <f>IFERROR(__xludf.DUMMYFUNCTION("""COMPUTED_VALUE"""),"T-Bar Row")</f>
        <v>T-Bar Row</v>
      </c>
    </row>
  </sheetData>
  <drawing r:id="rId1"/>
</worksheet>
</file>